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dget Tracker" sheetId="2" state="visible" r:id="rId2"/>
    <sheet xmlns:r="http://schemas.openxmlformats.org/officeDocument/2006/relationships" name="Subscription Audit" sheetId="3" state="visible" r:id="rId3"/>
    <sheet xmlns:r="http://schemas.openxmlformats.org/officeDocument/2006/relationships" name="Dashboard" sheetId="4" state="visible" r:id="rId4"/>
    <sheet xmlns:r="http://schemas.openxmlformats.org/officeDocument/2006/relationships" name="Closeout Report" sheetId="5" state="visible" r:id="rId5"/>
  </sheets>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0%"/>
    <numFmt numFmtId="167" formatCode="£#,##0.00"/>
  </numFmts>
  <fonts count="8">
    <font>
      <name val="Calibri"/>
      <family val="2"/>
      <color theme="1"/>
      <sz val="11"/>
      <scheme val="minor"/>
    </font>
    <font>
      <name val="Arial"/>
      <b val="1"/>
      <color rgb="001F3864"/>
      <sz val="16"/>
    </font>
    <font>
      <name val="Arial"/>
      <sz val="11"/>
    </font>
    <font>
      <name val="Arial"/>
      <b val="1"/>
      <sz val="11"/>
    </font>
    <font>
      <name val="Arial"/>
      <i val="1"/>
      <color rgb="00595959"/>
      <sz val="10"/>
    </font>
    <font>
      <name val="Arial"/>
      <b val="1"/>
      <color rgb="00FFFFFF"/>
      <sz val="11"/>
    </font>
    <font>
      <name val="Arial"/>
      <b val="1"/>
      <color rgb="001F3864"/>
      <sz val="12"/>
    </font>
    <font>
      <name val="Arial"/>
      <b val="1"/>
      <color rgb="001F3864"/>
      <sz val="13"/>
    </font>
  </fonts>
  <fills count="6">
    <fill>
      <patternFill/>
    </fill>
    <fill>
      <patternFill patternType="gray125"/>
    </fill>
    <fill>
      <patternFill patternType="solid">
        <fgColor rgb="001F3864"/>
      </patternFill>
    </fill>
    <fill>
      <patternFill patternType="solid">
        <fgColor rgb="00FFFF00"/>
      </patternFill>
    </fill>
    <fill>
      <patternFill patternType="solid">
        <fgColor rgb="00D9E2F3"/>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2" fillId="0" borderId="1" applyAlignment="1" pivotButton="0" quotePrefix="0" xfId="0">
      <alignment horizontal="left" vertical="center"/>
    </xf>
    <xf numFmtId="164" fontId="2" fillId="3" borderId="1" applyAlignment="1" pivotButton="0" quotePrefix="0" xfId="0">
      <alignment horizontal="right" vertical="center"/>
    </xf>
    <xf numFmtId="165" fontId="2" fillId="0" borderId="1" applyAlignment="1" pivotButton="0" quotePrefix="0" xfId="0">
      <alignment horizontal="right" vertical="center"/>
    </xf>
    <xf numFmtId="0" fontId="3" fillId="0" borderId="1" applyAlignment="1" pivotButton="0" quotePrefix="0" xfId="0">
      <alignment horizontal="left" vertical="center"/>
    </xf>
    <xf numFmtId="165" fontId="3" fillId="4" borderId="1" applyAlignment="1" pivotButton="0" quotePrefix="0" xfId="0">
      <alignment horizontal="right" vertical="center"/>
    </xf>
    <xf numFmtId="0" fontId="6" fillId="0" borderId="0" pivotButton="0" quotePrefix="0" xfId="0"/>
    <xf numFmtId="164" fontId="2" fillId="0" borderId="1" applyAlignment="1" pivotButton="0" quotePrefix="0" xfId="0">
      <alignment horizontal="right" vertical="center"/>
    </xf>
    <xf numFmtId="166" fontId="2" fillId="0" borderId="1" applyAlignment="1" pivotButton="0" quotePrefix="0" xfId="0">
      <alignment horizontal="right" vertical="center"/>
    </xf>
    <xf numFmtId="166" fontId="2" fillId="3" borderId="1" applyAlignment="1" pivotButton="0" quotePrefix="0" xfId="0">
      <alignment horizontal="right" vertical="center"/>
    </xf>
    <xf numFmtId="0" fontId="3" fillId="0" borderId="1" applyAlignment="1" pivotButton="0" quotePrefix="0" xfId="0">
      <alignment horizontal="right" vertical="center"/>
    </xf>
    <xf numFmtId="167" fontId="2" fillId="3" borderId="1" applyAlignment="1" pivotButton="0" quotePrefix="0" xfId="0">
      <alignment horizontal="right" vertical="center"/>
    </xf>
    <xf numFmtId="0" fontId="2" fillId="3" borderId="1" applyAlignment="1" pivotButton="0" quotePrefix="0" xfId="0">
      <alignment horizontal="center" vertical="center"/>
    </xf>
    <xf numFmtId="167" fontId="2" fillId="0" borderId="1" applyAlignment="1" pivotButton="0" quotePrefix="0" xfId="0">
      <alignment horizontal="right" vertical="center"/>
    </xf>
    <xf numFmtId="167" fontId="3" fillId="5" borderId="1" applyAlignment="1" pivotButton="0" quotePrefix="0" xfId="0">
      <alignment horizontal="right"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Monthly Spend: Budgeted vs Actual</a:t>
            </a:r>
          </a:p>
        </rich>
      </tx>
    </title>
    <plotArea>
      <barChart>
        <barDir val="col"/>
        <grouping val="clustered"/>
        <ser>
          <idx val="0"/>
          <order val="0"/>
          <tx>
            <strRef>
              <f>'Dashboard'!B4</f>
            </strRef>
          </tx>
          <spPr>
            <a:ln xmlns:a="http://schemas.openxmlformats.org/drawingml/2006/main">
              <a:prstDash val="solid"/>
            </a:ln>
          </spPr>
          <cat>
            <numRef>
              <f>'Dashboard'!$A$5:$A$7</f>
            </numRef>
          </cat>
          <val>
            <numRef>
              <f>'Dashboard'!$B$5:$B$7</f>
            </numRef>
          </val>
        </ser>
        <ser>
          <idx val="1"/>
          <order val="1"/>
          <tx>
            <strRef>
              <f>'Dashboard'!C4</f>
            </strRef>
          </tx>
          <spPr>
            <a:ln xmlns:a="http://schemas.openxmlformats.org/drawingml/2006/main">
              <a:prstDash val="solid"/>
            </a:ln>
          </spPr>
          <cat>
            <numRef>
              <f>'Dashboard'!$A$5:$A$7</f>
            </numRef>
          </cat>
          <val>
            <numRef>
              <f>'Dashboard'!$C$5:$C$7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GBP</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March Spend by Category</a:t>
            </a:r>
          </a:p>
        </rich>
      </tx>
    </title>
    <plotArea>
      <pieChart>
        <varyColors val="1"/>
        <ser>
          <idx val="0"/>
          <order val="0"/>
          <tx>
            <strRef>
              <f>'Dashboard'!B10</f>
            </strRef>
          </tx>
          <spPr>
            <a:ln xmlns:a="http://schemas.openxmlformats.org/drawingml/2006/main">
              <a:prstDash val="solid"/>
            </a:ln>
          </spPr>
          <cat>
            <numRef>
              <f>'Dashboard'!$A$11:$A$18</f>
            </numRef>
          </cat>
          <val>
            <numRef>
              <f>'Dashboard'!$B$11:$B$18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3</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21</row>
      <rowOff>0</rowOff>
    </from>
    <ext cx="57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95" customWidth="1" min="1" max="1"/>
  </cols>
  <sheetData>
    <row r="1">
      <c r="A1" s="1" t="inlineStr">
        <is>
          <t>Household Budget Tracker — Read Me</t>
        </is>
      </c>
    </row>
    <row r="2">
      <c r="A2" s="2" t="inlineStr"/>
    </row>
    <row r="3">
      <c r="A3" s="3" t="inlineStr">
        <is>
          <t>Purpose: this workbook is the tracking artifact for the Household Budget Optimization Initiative defined in the accompanying Project Charter document.</t>
        </is>
      </c>
    </row>
    <row r="4">
      <c r="A4" s="2" t="inlineStr"/>
    </row>
    <row r="5">
      <c r="A5" s="3" t="inlineStr">
        <is>
          <t>How to use it:</t>
        </is>
      </c>
    </row>
    <row r="6">
      <c r="A6" s="2" t="inlineStr">
        <is>
          <t>1. 'Budget Tracker' — enter Budgeted amounts once at project start (yellow cells). Enter Actual spend weekly or monthly per category (yellow cells). Variance and totals are calculated automatically, do not overwrite formula cells (black text).</t>
        </is>
      </c>
    </row>
    <row r="7">
      <c r="A7" s="2" t="inlineStr">
        <is>
          <t>2. 'Subscription Audit' — list every recurring subscription or membership, decide Keep / Cancel / Downgrade, and the monthly savings calculate automatically.</t>
        </is>
      </c>
    </row>
    <row r="8">
      <c r="A8" s="2" t="inlineStr">
        <is>
          <t>3. 'Dashboard' — reads from the two sheets above; no manual entry required.</t>
        </is>
      </c>
    </row>
    <row r="9">
      <c r="A9" s="2" t="inlineStr">
        <is>
          <t>4. 'Closeout Report' — fill in the narrative cells (yellow) once the tracking period ends, using the final numbers from the Dashboard.</t>
        </is>
      </c>
    </row>
    <row r="10">
      <c r="A10" s="2" t="inlineStr"/>
    </row>
    <row r="11">
      <c r="A11" s="3" t="inlineStr">
        <is>
          <t>Color key: yellow fill = enter your own data here. Black text = formula, leave as is.</t>
        </is>
      </c>
    </row>
    <row r="12">
      <c r="A12" s="2" t="inlineStr"/>
    </row>
    <row r="13">
      <c r="A13" s="2" t="inlineStr">
        <is>
          <t>This workbook contains sample data for Jan–Mar 2026 to demonstrate the model working end to end. Replace the sample figures with real numbers when you run this for your own household.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showGridLines="0" workbookViewId="0">
      <selection activeCell="A1" sqref="A1"/>
    </sheetView>
  </sheetViews>
  <sheetFormatPr baseColWidth="8" defaultRowHeight="15"/>
  <cols>
    <col width="26" customWidth="1" min="1" max="1"/>
    <col width="13" customWidth="1" min="2" max="2"/>
    <col width="12" customWidth="1" min="3" max="3"/>
    <col width="13" customWidth="1" min="4" max="4"/>
    <col width="13" customWidth="1" min="5" max="5"/>
    <col width="12" customWidth="1" min="6" max="6"/>
    <col width="13" customWidth="1" min="7" max="7"/>
    <col width="13" customWidth="1" min="8" max="8"/>
    <col width="12" customWidth="1" min="9" max="9"/>
    <col width="13" customWidth="1" min="10" max="10"/>
  </cols>
  <sheetData>
    <row r="1">
      <c r="A1" s="1" t="inlineStr">
        <is>
          <t>Household Budget Tracker</t>
        </is>
      </c>
    </row>
    <row r="2">
      <c r="A2" s="4" t="inlineStr">
        <is>
          <t>Project: Household Budget Optimization Initiative | Currency: GBP (£) | Period: Jan–Mar 2026</t>
        </is>
      </c>
    </row>
    <row r="4">
      <c r="A4" s="5" t="inlineStr">
        <is>
          <t>Category</t>
        </is>
      </c>
      <c r="B4" s="5" t="inlineStr">
        <is>
          <t>Jan Budgeted</t>
        </is>
      </c>
      <c r="C4" s="5" t="inlineStr">
        <is>
          <t>Jan Actual</t>
        </is>
      </c>
      <c r="D4" s="5" t="inlineStr">
        <is>
          <t>Jan Variance</t>
        </is>
      </c>
      <c r="E4" s="5" t="inlineStr">
        <is>
          <t>Feb Budgeted</t>
        </is>
      </c>
      <c r="F4" s="5" t="inlineStr">
        <is>
          <t>Feb Actual</t>
        </is>
      </c>
      <c r="G4" s="5" t="inlineStr">
        <is>
          <t>Feb Variance</t>
        </is>
      </c>
      <c r="H4" s="5" t="inlineStr">
        <is>
          <t>Mar Budgeted</t>
        </is>
      </c>
      <c r="I4" s="5" t="inlineStr">
        <is>
          <t>Mar Actual</t>
        </is>
      </c>
      <c r="J4" s="5" t="inlineStr">
        <is>
          <t>Mar Variance</t>
        </is>
      </c>
    </row>
    <row r="5">
      <c r="A5" s="6" t="inlineStr">
        <is>
          <t>Groceries</t>
        </is>
      </c>
      <c r="B5" s="7" t="n">
        <v>250</v>
      </c>
      <c r="C5" s="7" t="n">
        <v>260</v>
      </c>
      <c r="D5" s="8">
        <f>B5-C5</f>
        <v/>
      </c>
      <c r="E5" s="7" t="n">
        <v>250</v>
      </c>
      <c r="F5" s="7" t="n">
        <v>240</v>
      </c>
      <c r="G5" s="8">
        <f>E5-F5</f>
        <v/>
      </c>
      <c r="H5" s="7" t="n">
        <v>250</v>
      </c>
      <c r="I5" s="7" t="n">
        <v>230</v>
      </c>
      <c r="J5" s="8">
        <f>H5-I5</f>
        <v/>
      </c>
    </row>
    <row r="6">
      <c r="A6" s="6" t="inlineStr">
        <is>
          <t>Dining &amp; Takeout</t>
        </is>
      </c>
      <c r="B6" s="7" t="n">
        <v>120</v>
      </c>
      <c r="C6" s="7" t="n">
        <v>150</v>
      </c>
      <c r="D6" s="8">
        <f>B6-C6</f>
        <v/>
      </c>
      <c r="E6" s="7" t="n">
        <v>120</v>
      </c>
      <c r="F6" s="7" t="n">
        <v>110</v>
      </c>
      <c r="G6" s="8">
        <f>E6-F6</f>
        <v/>
      </c>
      <c r="H6" s="7" t="n">
        <v>120</v>
      </c>
      <c r="I6" s="7" t="n">
        <v>90</v>
      </c>
      <c r="J6" s="8">
        <f>H6-I6</f>
        <v/>
      </c>
    </row>
    <row r="7">
      <c r="A7" s="6" t="inlineStr">
        <is>
          <t>Transport / Fuel</t>
        </is>
      </c>
      <c r="B7" s="7" t="n">
        <v>90</v>
      </c>
      <c r="C7" s="7" t="n">
        <v>95</v>
      </c>
      <c r="D7" s="8">
        <f>B7-C7</f>
        <v/>
      </c>
      <c r="E7" s="7" t="n">
        <v>90</v>
      </c>
      <c r="F7" s="7" t="n">
        <v>85</v>
      </c>
      <c r="G7" s="8">
        <f>E7-F7</f>
        <v/>
      </c>
      <c r="H7" s="7" t="n">
        <v>90</v>
      </c>
      <c r="I7" s="7" t="n">
        <v>80</v>
      </c>
      <c r="J7" s="8">
        <f>H7-I7</f>
        <v/>
      </c>
    </row>
    <row r="8">
      <c r="A8" s="6" t="inlineStr">
        <is>
          <t>Utilities</t>
        </is>
      </c>
      <c r="B8" s="7" t="n">
        <v>150</v>
      </c>
      <c r="C8" s="7" t="n">
        <v>155</v>
      </c>
      <c r="D8" s="8">
        <f>B8-C8</f>
        <v/>
      </c>
      <c r="E8" s="7" t="n">
        <v>150</v>
      </c>
      <c r="F8" s="7" t="n">
        <v>150</v>
      </c>
      <c r="G8" s="8">
        <f>E8-F8</f>
        <v/>
      </c>
      <c r="H8" s="7" t="n">
        <v>150</v>
      </c>
      <c r="I8" s="7" t="n">
        <v>145</v>
      </c>
      <c r="J8" s="8">
        <f>H8-I8</f>
        <v/>
      </c>
    </row>
    <row r="9">
      <c r="A9" s="6" t="inlineStr">
        <is>
          <t>Subscriptions &amp; Memberships</t>
        </is>
      </c>
      <c r="B9" s="7" t="n">
        <v>60</v>
      </c>
      <c r="C9" s="7" t="n">
        <v>68</v>
      </c>
      <c r="D9" s="8">
        <f>B9-C9</f>
        <v/>
      </c>
      <c r="E9" s="7" t="n">
        <v>60</v>
      </c>
      <c r="F9" s="7" t="n">
        <v>45</v>
      </c>
      <c r="G9" s="8">
        <f>E9-F9</f>
        <v/>
      </c>
      <c r="H9" s="7" t="n">
        <v>60</v>
      </c>
      <c r="I9" s="7" t="n">
        <v>32</v>
      </c>
      <c r="J9" s="8">
        <f>H9-I9</f>
        <v/>
      </c>
    </row>
    <row r="10">
      <c r="A10" s="6" t="inlineStr">
        <is>
          <t>Entertainment</t>
        </is>
      </c>
      <c r="B10" s="7" t="n">
        <v>70</v>
      </c>
      <c r="C10" s="7" t="n">
        <v>85</v>
      </c>
      <c r="D10" s="8">
        <f>B10-C10</f>
        <v/>
      </c>
      <c r="E10" s="7" t="n">
        <v>70</v>
      </c>
      <c r="F10" s="7" t="n">
        <v>60</v>
      </c>
      <c r="G10" s="8">
        <f>E10-F10</f>
        <v/>
      </c>
      <c r="H10" s="7" t="n">
        <v>70</v>
      </c>
      <c r="I10" s="7" t="n">
        <v>50</v>
      </c>
      <c r="J10" s="8">
        <f>H10-I10</f>
        <v/>
      </c>
    </row>
    <row r="11">
      <c r="A11" s="6" t="inlineStr">
        <is>
          <t>Household &amp; Personal Care</t>
        </is>
      </c>
      <c r="B11" s="7" t="n">
        <v>80</v>
      </c>
      <c r="C11" s="7" t="n">
        <v>78</v>
      </c>
      <c r="D11" s="8">
        <f>B11-C11</f>
        <v/>
      </c>
      <c r="E11" s="7" t="n">
        <v>80</v>
      </c>
      <c r="F11" s="7" t="n">
        <v>75</v>
      </c>
      <c r="G11" s="8">
        <f>E11-F11</f>
        <v/>
      </c>
      <c r="H11" s="7" t="n">
        <v>80</v>
      </c>
      <c r="I11" s="7" t="n">
        <v>70</v>
      </c>
      <c r="J11" s="8">
        <f>H11-I11</f>
        <v/>
      </c>
    </row>
    <row r="12">
      <c r="A12" s="6" t="inlineStr">
        <is>
          <t>Miscellaneous / One-off</t>
        </is>
      </c>
      <c r="B12" s="7" t="n">
        <v>60</v>
      </c>
      <c r="C12" s="7" t="n">
        <v>90</v>
      </c>
      <c r="D12" s="8">
        <f>B12-C12</f>
        <v/>
      </c>
      <c r="E12" s="7" t="n">
        <v>60</v>
      </c>
      <c r="F12" s="7" t="n">
        <v>55</v>
      </c>
      <c r="G12" s="8">
        <f>E12-F12</f>
        <v/>
      </c>
      <c r="H12" s="7" t="n">
        <v>60</v>
      </c>
      <c r="I12" s="7" t="n">
        <v>40</v>
      </c>
      <c r="J12" s="8">
        <f>H12-I12</f>
        <v/>
      </c>
    </row>
    <row r="13">
      <c r="A13" s="9" t="inlineStr">
        <is>
          <t>TOTAL</t>
        </is>
      </c>
      <c r="B13" s="10">
        <f>SUM(B5:B12)</f>
        <v/>
      </c>
      <c r="C13" s="10">
        <f>SUM(C5:C12)</f>
        <v/>
      </c>
      <c r="D13" s="10">
        <f>SUM(D5:D12)</f>
        <v/>
      </c>
      <c r="E13" s="10">
        <f>SUM(E5:E12)</f>
        <v/>
      </c>
      <c r="F13" s="10">
        <f>SUM(F5:F12)</f>
        <v/>
      </c>
      <c r="G13" s="10">
        <f>SUM(G5:G12)</f>
        <v/>
      </c>
      <c r="H13" s="10">
        <f>SUM(H5:H12)</f>
        <v/>
      </c>
      <c r="I13" s="10">
        <f>SUM(I5:I12)</f>
        <v/>
      </c>
      <c r="J13" s="10">
        <f>SUM(J5:J12)</f>
        <v/>
      </c>
    </row>
    <row r="15">
      <c r="A15" s="11" t="inlineStr">
        <is>
          <t>Key metrics</t>
        </is>
      </c>
    </row>
    <row r="16">
      <c r="A16" s="6" t="inlineStr">
        <is>
          <t>Total spend, Month 1 (Jan actual)</t>
        </is>
      </c>
      <c r="C16" s="12">
        <f>C13</f>
        <v/>
      </c>
    </row>
    <row r="17">
      <c r="A17" s="6" t="inlineStr">
        <is>
          <t>Total spend, Month 3 (Mar actual)</t>
        </is>
      </c>
      <c r="C17" s="12">
        <f>I13</f>
        <v/>
      </c>
    </row>
    <row r="18">
      <c r="A18" s="6" t="inlineStr">
        <is>
          <t>Reduction, Month 1 to Month 3</t>
        </is>
      </c>
      <c r="C18" s="13">
        <f>(C13-I13)/C13</f>
        <v/>
      </c>
    </row>
    <row r="19">
      <c r="A19" s="6" t="inlineStr">
        <is>
          <t>Target reduction (per Project Charter)</t>
        </is>
      </c>
      <c r="C19" s="14" t="n">
        <v>0.15</v>
      </c>
    </row>
    <row r="20">
      <c r="A20" s="6" t="inlineStr">
        <is>
          <t>Target met?</t>
        </is>
      </c>
      <c r="C20" s="15">
        <f>IF(C18&gt;=C19,"Yes","No")</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32" customWidth="1" min="1" max="1"/>
    <col width="16" customWidth="1" min="2" max="2"/>
    <col width="14" customWidth="1" min="3" max="3"/>
    <col width="18" customWidth="1" min="4" max="4"/>
    <col width="40" customWidth="1" min="5" max="5"/>
  </cols>
  <sheetData>
    <row r="1">
      <c r="A1" s="1" t="inlineStr">
        <is>
          <t>Subscription &amp; Recurring Cost Audit</t>
        </is>
      </c>
    </row>
    <row r="2">
      <c r="A2" s="4" t="inlineStr">
        <is>
          <t>Objective: identify and eliminate at least 3 recurring costs with no corresponding value (Charter, Objective 3)</t>
        </is>
      </c>
    </row>
    <row r="4">
      <c r="A4" s="5" t="inlineStr">
        <is>
          <t>Subscription / Recurring Cost</t>
        </is>
      </c>
      <c r="B4" s="5" t="inlineStr">
        <is>
          <t>Monthly Cost (£)</t>
        </is>
      </c>
      <c r="C4" s="5" t="inlineStr">
        <is>
          <t>Decision</t>
        </is>
      </c>
      <c r="D4" s="5" t="inlineStr">
        <is>
          <t>Monthly Savings (£)</t>
        </is>
      </c>
      <c r="E4" s="5" t="inlineStr">
        <is>
          <t>Notes</t>
        </is>
      </c>
    </row>
    <row r="5">
      <c r="A5" s="6" t="inlineStr">
        <is>
          <t>Netflix (Standard)</t>
        </is>
      </c>
      <c r="B5" s="16" t="n">
        <v>10.99</v>
      </c>
      <c r="C5" s="17" t="inlineStr">
        <is>
          <t>Keep</t>
        </is>
      </c>
      <c r="D5" s="18">
        <f>IF(C5="Cancel",B5,IF(C5="Downgrade",B5*0.6,0))</f>
        <v/>
      </c>
      <c r="E5" s="6" t="inlineStr">
        <is>
          <t>Actively used weekly</t>
        </is>
      </c>
    </row>
    <row r="6">
      <c r="A6" s="6" t="inlineStr">
        <is>
          <t>Spotify Family</t>
        </is>
      </c>
      <c r="B6" s="16" t="n">
        <v>16.99</v>
      </c>
      <c r="C6" s="17" t="inlineStr">
        <is>
          <t>Keep</t>
        </is>
      </c>
      <c r="D6" s="18">
        <f>IF(C6="Cancel",B6,IF(C6="Downgrade",B6*0.6,0))</f>
        <v/>
      </c>
      <c r="E6" s="6" t="inlineStr">
        <is>
          <t>Shared across household, good value</t>
        </is>
      </c>
    </row>
    <row r="7">
      <c r="A7" s="6" t="inlineStr">
        <is>
          <t>Amazon Prime</t>
        </is>
      </c>
      <c r="B7" s="16" t="n">
        <v>8.99</v>
      </c>
      <c r="C7" s="17" t="inlineStr">
        <is>
          <t>Keep</t>
        </is>
      </c>
      <c r="D7" s="18">
        <f>IF(C7="Cancel",B7,IF(C7="Downgrade",B7*0.6,0))</f>
        <v/>
      </c>
      <c r="E7" s="6" t="inlineStr">
        <is>
          <t>Used for delivery and Prime Video</t>
        </is>
      </c>
    </row>
    <row r="8">
      <c r="A8" s="6" t="inlineStr">
        <is>
          <t>Local Gym Membership</t>
        </is>
      </c>
      <c r="B8" s="16" t="n">
        <v>35</v>
      </c>
      <c r="C8" s="17" t="inlineStr">
        <is>
          <t>Cancel</t>
        </is>
      </c>
      <c r="D8" s="18">
        <f>IF(C8="Cancel",B8,IF(C8="Downgrade",B8*0.6,0))</f>
        <v/>
      </c>
      <c r="E8" s="6" t="inlineStr">
        <is>
          <t>Switched to home workouts, unused since Oct</t>
        </is>
      </c>
    </row>
    <row r="9">
      <c r="A9" s="6" t="inlineStr">
        <is>
          <t>Cloud Storage (200GB plan)</t>
        </is>
      </c>
      <c r="B9" s="16" t="n">
        <v>7.99</v>
      </c>
      <c r="C9" s="17" t="inlineStr">
        <is>
          <t>Downgrade</t>
        </is>
      </c>
      <c r="D9" s="18">
        <f>IF(C9="Cancel",B9,IF(C9="Downgrade",B9*0.6,0))</f>
        <v/>
      </c>
      <c r="E9" s="6" t="inlineStr">
        <is>
          <t>Actual usage under free 15GB tier</t>
        </is>
      </c>
    </row>
    <row r="10">
      <c r="A10" s="6" t="inlineStr">
        <is>
          <t>Streaming Service B</t>
        </is>
      </c>
      <c r="B10" s="16" t="n">
        <v>6.99</v>
      </c>
      <c r="C10" s="17" t="inlineStr">
        <is>
          <t>Cancel</t>
        </is>
      </c>
      <c r="D10" s="18">
        <f>IF(C10="Cancel",B10,IF(C10="Downgrade",B10*0.6,0))</f>
        <v/>
      </c>
      <c r="E10" s="6" t="inlineStr">
        <is>
          <t>Not used in 4+ months</t>
        </is>
      </c>
    </row>
    <row r="11">
      <c r="A11" s="6" t="inlineStr">
        <is>
          <t>Magazine Subscription</t>
        </is>
      </c>
      <c r="B11" s="16" t="n">
        <v>4.99</v>
      </c>
      <c r="C11" s="17" t="inlineStr">
        <is>
          <t>Cancel</t>
        </is>
      </c>
      <c r="D11" s="18">
        <f>IF(C11="Cancel",B11,IF(C11="Downgrade",B11*0.6,0))</f>
        <v/>
      </c>
      <c r="E11" s="6" t="inlineStr">
        <is>
          <t>Unread, auto-renewed from a free trial</t>
        </is>
      </c>
    </row>
    <row r="12">
      <c r="A12" s="9" t="inlineStr">
        <is>
          <t>TOTAL MONTHLY SAVINGS IDENTIFIED</t>
        </is>
      </c>
      <c r="D12" s="19">
        <f>SUM(D5:D11)</f>
        <v/>
      </c>
    </row>
    <row r="13">
      <c r="A13" s="6" t="inlineStr">
        <is>
          <t>Recurring costs eliminated or reduced</t>
        </is>
      </c>
      <c r="D13" s="15">
        <f>COUNTIF(C5:C11,"Cancel")+COUNTIF(C5:C11,"Downgrade")</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18" customWidth="1" min="1" max="1"/>
    <col width="14" customWidth="1" min="2" max="2"/>
    <col width="14" customWidth="1" min="3" max="3"/>
  </cols>
  <sheetData>
    <row r="1">
      <c r="A1" s="1" t="inlineStr">
        <is>
          <t>Household Budget — Project Dashboard</t>
        </is>
      </c>
    </row>
    <row r="2">
      <c r="A2" s="4" t="inlineStr">
        <is>
          <t>Auto-calculated from Budget Tracker and Subscription Audit. No manual entry required.</t>
        </is>
      </c>
    </row>
    <row r="4">
      <c r="A4" s="5" t="inlineStr">
        <is>
          <t>Month</t>
        </is>
      </c>
      <c r="B4" s="5" t="inlineStr">
        <is>
          <t>Budgeted</t>
        </is>
      </c>
      <c r="C4" s="5" t="inlineStr">
        <is>
          <t>Actual</t>
        </is>
      </c>
    </row>
    <row r="5">
      <c r="A5" s="6" t="inlineStr">
        <is>
          <t>January</t>
        </is>
      </c>
      <c r="B5" s="12">
        <f>'Budget Tracker'!B13</f>
        <v/>
      </c>
      <c r="C5" s="12">
        <f>'Budget Tracker'!C13</f>
        <v/>
      </c>
    </row>
    <row r="6">
      <c r="A6" s="6" t="inlineStr">
        <is>
          <t>February</t>
        </is>
      </c>
      <c r="B6" s="12">
        <f>'Budget Tracker'!E13</f>
        <v/>
      </c>
      <c r="C6" s="12">
        <f>'Budget Tracker'!F13</f>
        <v/>
      </c>
    </row>
    <row r="7">
      <c r="A7" s="6" t="inlineStr">
        <is>
          <t>March</t>
        </is>
      </c>
      <c r="B7" s="12">
        <f>'Budget Tracker'!H13</f>
        <v/>
      </c>
      <c r="C7" s="12">
        <f>'Budget Tracker'!I13</f>
        <v/>
      </c>
    </row>
    <row r="10">
      <c r="A10" s="5" t="inlineStr">
        <is>
          <t>Category</t>
        </is>
      </c>
      <c r="B10" s="5" t="inlineStr">
        <is>
          <t>March Actual</t>
        </is>
      </c>
    </row>
    <row r="11">
      <c r="A11" s="6" t="inlineStr">
        <is>
          <t>Groceries</t>
        </is>
      </c>
      <c r="B11" s="12">
        <f>'Budget Tracker'!I5</f>
        <v/>
      </c>
    </row>
    <row r="12">
      <c r="A12" s="6" t="inlineStr">
        <is>
          <t>Dining &amp; Takeout</t>
        </is>
      </c>
      <c r="B12" s="12">
        <f>'Budget Tracker'!I6</f>
        <v/>
      </c>
    </row>
    <row r="13">
      <c r="A13" s="6" t="inlineStr">
        <is>
          <t>Transport / Fuel</t>
        </is>
      </c>
      <c r="B13" s="12">
        <f>'Budget Tracker'!I7</f>
        <v/>
      </c>
    </row>
    <row r="14">
      <c r="A14" s="6" t="inlineStr">
        <is>
          <t>Utilities</t>
        </is>
      </c>
      <c r="B14" s="12">
        <f>'Budget Tracker'!I8</f>
        <v/>
      </c>
    </row>
    <row r="15">
      <c r="A15" s="6" t="inlineStr">
        <is>
          <t>Subscriptions &amp; Memberships</t>
        </is>
      </c>
      <c r="B15" s="12">
        <f>'Budget Tracker'!I9</f>
        <v/>
      </c>
    </row>
    <row r="16">
      <c r="A16" s="6" t="inlineStr">
        <is>
          <t>Entertainment</t>
        </is>
      </c>
      <c r="B16" s="12">
        <f>'Budget Tracker'!I10</f>
        <v/>
      </c>
    </row>
    <row r="17">
      <c r="A17" s="6" t="inlineStr">
        <is>
          <t>Household &amp; Personal Care</t>
        </is>
      </c>
      <c r="B17" s="12">
        <f>'Budget Tracker'!I11</f>
        <v/>
      </c>
    </row>
    <row r="18">
      <c r="A18" s="6" t="inlineStr">
        <is>
          <t>Miscellaneous / One-off</t>
        </is>
      </c>
      <c r="B18" s="12">
        <f>'Budget Tracker'!I12</f>
        <v/>
      </c>
    </row>
    <row r="20">
      <c r="A20" s="9" t="inlineStr">
        <is>
          <t>Spend reduction, Jan to Mar</t>
        </is>
      </c>
      <c r="B20" s="13">
        <f>'Budget Tracker'!C18</f>
        <v/>
      </c>
    </row>
    <row r="21">
      <c r="A21" s="9" t="inlineStr">
        <is>
          <t>Monthly savings from subscription audit</t>
        </is>
      </c>
      <c r="B21" s="18">
        <f>'Subscription Audit'!D12</f>
        <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34" customWidth="1" min="1" max="1"/>
    <col width="60" customWidth="1" min="2" max="2"/>
  </cols>
  <sheetData>
    <row r="1">
      <c r="A1" s="1" t="inlineStr">
        <is>
          <t>Project Closeout Report</t>
        </is>
      </c>
    </row>
    <row r="2">
      <c r="A2" s="4" t="inlineStr">
        <is>
          <t>Household Budget Optimization Initiative — completed 28 March 2026</t>
        </is>
      </c>
    </row>
    <row r="4" ht="30" customHeight="1">
      <c r="A4" s="3" t="inlineStr">
        <is>
          <t>Objective 1 target</t>
        </is>
      </c>
      <c r="B4" s="2" t="inlineStr">
        <is>
          <t>Reduce average monthly discretionary spend by 15% within 12 weeks</t>
        </is>
      </c>
    </row>
    <row r="6" ht="30" customHeight="1">
      <c r="A6" s="3" t="inlineStr">
        <is>
          <t>Objective 1 result</t>
        </is>
      </c>
      <c r="B6" s="2">
        <f>TEXT('Budget Tracker'!C18,"0.0%") &amp; " reduction achieved (Jan actual to Mar actual), exceeding the 15% target"</f>
        <v/>
      </c>
    </row>
    <row r="8" ht="30" customHeight="1">
      <c r="A8" s="3" t="inlineStr">
        <is>
          <t>Objective 2 target</t>
        </is>
      </c>
      <c r="B8" s="2" t="inlineStr">
        <is>
          <t>Establish a single source of truth for income and spend, updated weekly</t>
        </is>
      </c>
    </row>
    <row r="10" ht="30" customHeight="1">
      <c r="A10" s="3" t="inlineStr">
        <is>
          <t>Objective 2 result</t>
        </is>
      </c>
      <c r="B10" s="2" t="inlineStr">
        <is>
          <t>Achieved — Budget Tracker maintained weekly across the 12-week period, zero missed weeks</t>
        </is>
      </c>
    </row>
    <row r="12" ht="30" customHeight="1">
      <c r="A12" s="3" t="inlineStr">
        <is>
          <t>Objective 3 target</t>
        </is>
      </c>
      <c r="B12" s="2" t="inlineStr">
        <is>
          <t>Identify and eliminate at least 3 recurring costs with no corresponding value</t>
        </is>
      </c>
    </row>
    <row r="14" ht="30" customHeight="1">
      <c r="A14" s="3" t="inlineStr">
        <is>
          <t>Objective 3 result</t>
        </is>
      </c>
      <c r="B14" s="2">
        <f>'Subscription Audit'!D13 &amp; " recurring costs cancelled or downgraded, worth £" &amp; TEXT('Subscription Audit'!D12,"0.00") &amp; "/month"</f>
        <v/>
      </c>
    </row>
    <row r="16" ht="30" customHeight="1">
      <c r="A16" s="3" t="inlineStr">
        <is>
          <t>Objective 4 target</t>
        </is>
      </c>
      <c r="B16" s="2" t="inlineStr">
        <is>
          <t>Build a repeatable monthly review process the household can sustain after closeout</t>
        </is>
      </c>
    </row>
    <row r="18" ht="30" customHeight="1">
      <c r="A18" s="3" t="inlineStr">
        <is>
          <t>Objective 4 result</t>
        </is>
      </c>
      <c r="B18" s="2" t="inlineStr">
        <is>
          <t>Achieved — monthly review moved into a recurring calendar slot, tracker template reused going forward</t>
        </is>
      </c>
    </row>
    <row r="21">
      <c r="A21" s="20" t="inlineStr">
        <is>
          <t>Overall outcome</t>
        </is>
      </c>
    </row>
    <row r="22" ht="60" customHeight="1">
      <c r="A22" s="2" t="inlineStr">
        <is>
          <t>All four project objectives were met or exceeded. The project produced a reusable budget tracking model, a documented subscription audit process, and a measurable reduction in monthly household spend, evidence of applied project planning, stakeholder coordination, and outcome tracking against a defined charter.</t>
        </is>
      </c>
    </row>
  </sheetData>
  <mergeCells count="1">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2026-08-10T06:57:06Z</dcterms:created>
  <dcterms:modified xmlns:dcterms="http://purl.org/dc/terms/" xmlns:xsi="http://www.w3.org/2001/XMLSchema-instance" xsi:type="dcterms:W3CDTF">2026-08-10T06:57:06Z</dcterms:modified>
</cp:coreProperties>
</file>